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d1afe8efe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1f59f40365d24cd9"/>
    <x:sheet xmlns:r="http://schemas.openxmlformats.org/officeDocument/2006/relationships" name="grade_risk_return" sheetId="2" r:id="R70c8775d78f04d11"/>
    <x:sheet xmlns:r="http://schemas.openxmlformats.org/officeDocument/2006/relationships" name="vintage" sheetId="3" r:id="Rdefc892796d941bf"/>
    <x:sheet xmlns:r="http://schemas.openxmlformats.org/officeDocument/2006/relationships" name="purpose_risk" sheetId="4" r:id="Ra90b891d83764d1d"/>
    <x:sheet xmlns:r="http://schemas.openxmlformats.org/officeDocument/2006/relationships" name="recovery" sheetId="5" r:id="R949d2a63cb9c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;(#,##0.00);-"/>
    <x:numFmt numFmtId="202" formatCode="0.0%"/>
    <x:numFmt numFmtId="203" formatCode="#,##0.00"/>
  </x:numFmts>
  <x:fonts count="7">
    <x:font>
      <x:sz val="11"/>
      <x:name val="Carlito"/>
    </x:font>
    <x:font>
      <x:b/>
      <x:sz val="16"/>
      <x:color rgb="FF14243A"/>
      <x:name val="Arial"/>
    </x:font>
    <x:font>
      <x:sz val="10"/>
      <x:color rgb="FF5B687B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  <x:font>
      <x:b/>
      <x:sz val="14"/>
      <x:color rgb="FF1424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2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8567b19d146be" /><Relationship Type="http://schemas.openxmlformats.org/officeDocument/2006/relationships/theme" Target="/xl/theme/theme1.xml" Id="R1adfcc8b6c354ea5" /><Relationship Type="http://schemas.openxmlformats.org/officeDocument/2006/relationships/sharedStrings" Target="/xl/sharedStrings.xml" Id="Rd13a16aac24d46b3" /><Relationship Type="http://schemas.openxmlformats.org/officeDocument/2006/relationships/worksheet" Target="/xl/worksheets/sheet1.xml" Id="R1f59f40365d24cd9" /><Relationship Type="http://schemas.openxmlformats.org/officeDocument/2006/relationships/worksheet" Target="/xl/worksheets/sheet2.xml" Id="R70c8775d78f04d11" /><Relationship Type="http://schemas.openxmlformats.org/officeDocument/2006/relationships/worksheet" Target="/xl/worksheets/sheet3.xml" Id="Rdefc892796d941bf" /><Relationship Type="http://schemas.openxmlformats.org/officeDocument/2006/relationships/worksheet" Target="/xl/worksheets/sheet4.xml" Id="Ra90b891d83764d1d" /><Relationship Type="http://schemas.openxmlformats.org/officeDocument/2006/relationships/worksheet" Target="/xl/worksheets/sheet5.xml" Id="R949d2a63cb9c47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d46e1092aa45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Resolved default rate by grade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Default rate</c:v>
          </c:tx>
          <c:cat>
            <c:strRef>
              <c:f>'Analysis'!$B$16:$B$22</c:f>
              <c:strCache>
                <c:ptCount val="0"/>
              </c:strCache>
            </c:strRef>
          </c:cat>
          <c:val>
            <c:numRef>
              <c:f>'Analysis'!$C$16:$C$22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d46e1092aa45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rade_risk_return" displayName="T_grade_risk_return" ref="A5:I12" headerRowCount="1" totalsRowCount="0" totalsRowShown="0">
  <x:tableColumns count="9">
    <x:tableColumn id="1" name="grade"/>
    <x:tableColumn id="2" name="loans"/>
    <x:tableColumn id="3" name="resolved_loans"/>
    <x:tableColumn id="4" name="funded_amount"/>
    <x:tableColumn id="5" name="default_rate"/>
    <x:tableColumn id="6" name="coupon_rate"/>
    <x:tableColumn id="7" name="interest_received"/>
    <x:tableColumn id="8" name="recovery_rate"/>
    <x:tableColumn id="9" name="net_return_prox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vintage" displayName="T_vintage" ref="A5:G12" headerRowCount="1" totalsRowCount="0" totalsRowShown="0">
  <x:tableColumns count="7">
    <x:tableColumn id="1" name="issue_year"/>
    <x:tableColumn id="2" name="term_months"/>
    <x:tableColumn id="3" name="loans"/>
    <x:tableColumn id="4" name="resolved_loans"/>
    <x:tableColumn id="5" name="current_share"/>
    <x:tableColumn id="6" name="default_rate"/>
    <x:tableColumn id="7" name="net_return_prox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urpose_risk" displayName="T_purpose_risk" ref="A5:G19" headerRowCount="1" totalsRowCount="0" totalsRowShown="0">
  <x:tableColumns count="7">
    <x:tableColumn id="1" name="purpose"/>
    <x:tableColumn id="2" name="loans"/>
    <x:tableColumn id="3" name="resolved_loans"/>
    <x:tableColumn id="4" name="default_rate"/>
    <x:tableColumn id="5" name="funded_amount"/>
    <x:tableColumn id="6" name="coupon_rate"/>
    <x:tableColumn id="7" name="net_return_prox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covery" displayName="T_recovery" ref="A5:F12" headerRowCount="1" totalsRowCount="0" totalsRowShown="0">
  <x:tableColumns count="6">
    <x:tableColumn id="1" name="grade"/>
    <x:tableColumn id="2" name="recovery_cash"/>
    <x:tableColumn id="3" name="recovery_fees"/>
    <x:tableColumn id="4" name="pre_recovery_exposure"/>
    <x:tableColumn id="5" name="recovery_rate"/>
    <x:tableColumn id="6" name="unreturned_princip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fb03ff635e4d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34ebe2e1314d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25b3536dfc41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11099d10414a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7e7c0527df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2">
      <x:c r="B2" s="1" t="str">
        <x:v>Credit grade comparison</x:v>
      </x:c>
    </x:row>
    <x:row r="3">
      <x:c r="B3" s="2" t="str">
        <x:v>Historical source analysis. Raw data and detailed records are in the accompanying CSV files.</x:v>
      </x:c>
    </x:row>
    <x:row r="5">
      <x:c r="B5" s="4" t="str">
        <x:v>Measure</x:v>
      </x:c>
      <x:c r="C5" s="4" t="str">
        <x:v>Value</x:v>
      </x:c>
      <x:c r="D5" s="6"/>
      <x:c r="E5" s="6"/>
      <x:c r="F5" s="6"/>
      <x:c r="G5" s="6"/>
      <x:c r="H5" s="6"/>
      <x:c r="I5" s="6"/>
    </x:row>
    <x:row r="6">
      <x:c r="B6" s="6" t="str">
        <x:v>Total loans</x:v>
      </x:c>
      <x:c r="C6" s="9" t="n">
        <x:f>SUM(grade_risk_return!B6:B12)</x:f>
        <x:v>39717</x:v>
      </x:c>
      <x:c r="D6" s="6"/>
      <x:c r="E6" s="6"/>
      <x:c r="F6" s="6"/>
      <x:c r="G6" s="6"/>
      <x:c r="H6" s="6"/>
      <x:c r="I6" s="6"/>
    </x:row>
    <x:row r="7">
      <x:c r="B7" s="6" t="str">
        <x:v>Funded amount (USD)</x:v>
      </x:c>
      <x:c r="C7" s="13" t="n">
        <x:f>SUM(grade_risk_return!D6:D12)</x:f>
        <x:v>434810325</x:v>
      </x:c>
      <x:c r="D7" s="6"/>
      <x:c r="E7" s="6"/>
      <x:c r="F7" s="6"/>
      <x:c r="G7" s="6"/>
      <x:c r="H7" s="6"/>
      <x:c r="I7" s="6"/>
    </x:row>
    <x:row r="8">
      <x:c r="B8" s="6" t="str">
        <x:v>Resolved loans</x:v>
      </x:c>
      <x:c r="C8" s="9" t="n">
        <x:f>SUM(grade_risk_return!C6:C12)</x:f>
        <x:v>38577</x:v>
      </x:c>
      <x:c r="D8" s="6"/>
      <x:c r="E8" s="6"/>
      <x:c r="F8" s="6"/>
      <x:c r="G8" s="6"/>
      <x:c r="H8" s="6"/>
      <x:c r="I8" s="6"/>
    </x:row>
    <x:row r="9">
      <x:c r="B9" s="6" t="str">
        <x:v>Current share</x:v>
      </x:c>
      <x:c r="C9" s="11" t="n">
        <x:f>1-C8/C6</x:f>
        <x:v>0.028703074250321037</x:v>
      </x:c>
      <x:c r="D9" s="6"/>
      <x:c r="E9" s="6"/>
      <x:c r="F9" s="6"/>
      <x:c r="G9" s="6"/>
      <x:c r="H9" s="6"/>
      <x:c r="I9" s="6"/>
    </x:row>
    <x:row r="10">
      <x:c r="B10" s="6"/>
      <x:c r="C10" s="6"/>
      <x:c r="D10" s="6"/>
      <x:c r="E10" s="6"/>
      <x:c r="F10" s="6"/>
      <x:c r="G10" s="6"/>
      <x:c r="H10" s="6"/>
      <x:c r="I10" s="6"/>
    </x:row>
    <x:row r="11">
      <x:c r="B11" s="6"/>
      <x:c r="C11" s="6"/>
      <x:c r="D11" s="6"/>
      <x:c r="E11" s="6"/>
      <x:c r="F11" s="6"/>
      <x:c r="G11" s="6"/>
      <x:c r="H11" s="6"/>
      <x:c r="I11" s="6"/>
    </x:row>
    <x:row r="12">
      <x:c r="B12" s="6"/>
      <x:c r="C12" s="6"/>
      <x:c r="D12" s="6"/>
      <x:c r="E12" s="6"/>
      <x:c r="F12" s="6"/>
      <x:c r="G12" s="6"/>
      <x:c r="H12" s="6"/>
      <x:c r="I12" s="6"/>
    </x:row>
    <x:row r="13">
      <x:c r="B13" s="6"/>
      <x:c r="C13" s="6"/>
      <x:c r="D13" s="6"/>
      <x:c r="E13" s="6"/>
      <x:c r="F13" s="6"/>
      <x:c r="G13" s="6"/>
      <x:c r="H13" s="6"/>
      <x:c r="I13" s="6"/>
    </x:row>
    <x:row r="14">
      <x:c r="B14" s="6"/>
      <x:c r="C14" s="6"/>
      <x:c r="D14" s="6"/>
      <x:c r="E14" s="6"/>
      <x:c r="F14" s="6"/>
      <x:c r="G14" s="6"/>
      <x:c r="H14" s="6"/>
      <x:c r="I14" s="6"/>
    </x:row>
    <x:row r="15" ht="35" customHeight="1">
      <x:c r="B15" s="8" t="str">
        <x:v>Grade</x:v>
      </x:c>
      <x:c r="C15" s="8" t="str">
        <x:v>Default rate</x:v>
      </x:c>
      <x:c r="D15" s="8" t="str">
        <x:v>Coupon rate</x:v>
      </x:c>
      <x:c r="E15" s="8" t="str">
        <x:v>Net cash return</x:v>
      </x:c>
      <x:c r="F15" s="8" t="str">
        <x:v>Funding share</x:v>
      </x:c>
      <x:c r="G15" s="14"/>
      <x:c r="H15" s="14"/>
      <x:c r="I15" s="6"/>
    </x:row>
    <x:row r="16">
      <x:c r="B16" s="6" t="str">
        <x:f>grade_risk_return!A6</x:f>
        <x:v>A</x:v>
      </x:c>
      <x:c r="C16" s="11" t="n">
        <x:f>grade_risk_return!E6</x:f>
        <x:v>0.0599303136</x:v>
      </x:c>
      <x:c r="D16" s="11" t="n">
        <x:f>grade_risk_return!F6</x:f>
        <x:v>0.0733526227</x:v>
      </x:c>
      <x:c r="E16" s="11" t="n">
        <x:f>grade_risk_return!I6</x:f>
        <x:v>0.0715584758</x:v>
      </x:c>
      <x:c r="F16" s="11" t="n">
        <x:f>grade_risk_return!D6/$C$7</x:f>
        <x:v>0.1948859540076469</x:v>
      </x:c>
      <x:c r="G16" s="6"/>
      <x:c r="H16" s="6"/>
      <x:c r="I16" s="6"/>
    </x:row>
    <x:row r="17">
      <x:c r="B17" s="6" t="str">
        <x:f>grade_risk_return!A7</x:f>
        <x:v>B</x:v>
      </x:c>
      <x:c r="C17" s="11" t="n">
        <x:f>grade_risk_return!E7</x:f>
        <x:v>0.1220556745</x:v>
      </x:c>
      <x:c r="D17" s="11" t="n">
        <x:f>grade_risk_return!F7</x:f>
        <x:v>0.1102122379</x:v>
      </x:c>
      <x:c r="E17" s="11" t="n">
        <x:f>grade_risk_return!I7</x:f>
        <x:v>0.0952267354</x:v>
      </x:c>
      <x:c r="F17" s="11" t="n">
        <x:f>grade_risk_return!D7/$C$7</x:f>
        <x:v>0.30025333460055253</x:v>
      </x:c>
      <x:c r="G17" s="6"/>
      <x:c r="H17" s="6"/>
      <x:c r="I17" s="6"/>
    </x:row>
    <x:row r="18">
      <x:c r="B18" s="6" t="str">
        <x:f>grade_risk_return!A8</x:f>
        <x:v>C</x:v>
      </x:c>
      <x:c r="C18" s="11" t="n">
        <x:f>grade_risk_return!E8</x:f>
        <x:v>0.1719428134</x:v>
      </x:c>
      <x:c r="D18" s="11" t="n">
        <x:f>grade_risk_return!F8</x:f>
        <x:v>0.1355295999</x:v>
      </x:c>
      <x:c r="E18" s="11" t="n">
        <x:f>grade_risk_return!I8</x:f>
        <x:v>0.1041995082</x:v>
      </x:c>
      <x:c r="F18" s="11" t="n">
        <x:f>grade_risk_return!D8/$C$7</x:f>
        <x:v>0.20075529485184143</x:v>
      </x:c>
      <x:c r="G18" s="6"/>
      <x:c r="H18" s="6"/>
      <x:c r="I18" s="6"/>
    </x:row>
    <x:row r="19">
      <x:c r="B19" s="6" t="str">
        <x:f>grade_risk_return!A9</x:f>
        <x:v>D</x:v>
      </x:c>
      <x:c r="C19" s="11" t="n">
        <x:f>grade_risk_return!E9</x:f>
        <x:v>0.2198623402</x:v>
      </x:c>
      <x:c r="D19" s="11" t="n">
        <x:f>grade_risk_return!F9</x:f>
        <x:v>0.1571990013</x:v>
      </x:c>
      <x:c r="E19" s="11" t="n">
        <x:f>grade_risk_return!I9</x:f>
        <x:v>0.1102066134</x:v>
      </x:c>
      <x:c r="F19" s="11" t="n">
        <x:f>grade_risk_return!D9/$C$7</x:f>
        <x:v>0.14731567149423141</x:v>
      </x:c>
      <x:c r="G19" s="6"/>
      <x:c r="H19" s="6"/>
      <x:c r="I19" s="6"/>
    </x:row>
    <x:row r="20">
      <x:c r="B20" s="6" t="str">
        <x:f>grade_risk_return!A10</x:f>
        <x:v>E</x:v>
      </x:c>
      <x:c r="C20" s="11" t="n">
        <x:f>grade_risk_return!E10</x:f>
        <x:v>0.2684941795</x:v>
      </x:c>
      <x:c r="D20" s="11" t="n">
        <x:f>grade_risk_return!F10</x:f>
        <x:v>0.1771171358</x:v>
      </x:c>
      <x:c r="E20" s="11" t="n">
        <x:f>grade_risk_return!I10</x:f>
        <x:v>0.1284392891</x:v>
      </x:c>
      <x:c r="F20" s="11" t="n">
        <x:f>grade_risk_return!D10/$C$7</x:f>
        <x:v>0.09970508405015452</x:v>
      </x:c>
      <x:c r="G20" s="6"/>
      <x:c r="H20" s="6"/>
      <x:c r="I20" s="6"/>
    </x:row>
    <x:row r="21">
      <x:c r="B21" s="6" t="str">
        <x:f>grade_risk_return!A11</x:f>
        <x:v>F</x:v>
      </x:c>
      <x:c r="C21" s="11" t="n">
        <x:f>grade_risk_return!E11</x:f>
        <x:v>0.3268442623</x:v>
      </x:c>
      <x:c r="D21" s="11" t="n">
        <x:f>grade_risk_return!F11</x:f>
        <x:v>0.1974932316</x:v>
      </x:c>
      <x:c r="E21" s="11" t="n">
        <x:f>grade_risk_return!I11</x:f>
        <x:v>0.1203774786</x:v>
      </x:c>
      <x:c r="F21" s="11" t="n">
        <x:f>grade_risk_return!D11/$C$7</x:f>
        <x:v>0.04267412463124007</x:v>
      </x:c>
      <x:c r="G21" s="6"/>
      <x:c r="H21" s="6"/>
      <x:c r="I21" s="6"/>
    </x:row>
    <x:row r="22">
      <x:c r="B22" s="6" t="str">
        <x:f>grade_risk_return!A12</x:f>
        <x:v>G</x:v>
      </x:c>
      <x:c r="C22" s="11" t="n">
        <x:f>grade_risk_return!E12</x:f>
        <x:v>0.3377926421</x:v>
      </x:c>
      <x:c r="D22" s="11" t="n">
        <x:f>grade_risk_return!F12</x:f>
        <x:v>0.214010443</x:v>
      </x:c>
      <x:c r="E22" s="11" t="n">
        <x:f>grade_risk_return!I12</x:f>
        <x:v>0.1363417696</x:v>
      </x:c>
      <x:c r="F22" s="11" t="n">
        <x:f>grade_risk_return!D12/$C$7</x:f>
        <x:v>0.014410536364333114</x:v>
      </x:c>
      <x:c r="G22" s="6"/>
      <x:c r="H22" s="6"/>
      <x:c r="I22" s="6"/>
    </x:row>
    <x:row r="23">
      <x:c r="B23" s="6"/>
      <x:c r="C23" s="6"/>
      <x:c r="D23" s="6"/>
      <x:c r="E23" s="6"/>
      <x:c r="F23" s="6"/>
      <x:c r="G23" s="6"/>
      <x:c r="H23" s="6"/>
      <x:c r="I23" s="6"/>
    </x:row>
    <x:row r="24">
      <x:c r="B24" s="6"/>
      <x:c r="C24" s="6"/>
      <x:c r="D24" s="6"/>
      <x:c r="E24" s="6"/>
      <x:c r="F24" s="6"/>
      <x:c r="G24" s="6"/>
      <x:c r="H24" s="6"/>
      <x:c r="I24" s="6"/>
    </x:row>
    <x:row r="25">
      <x:c r="B25" s="6"/>
      <x:c r="C25" s="6"/>
      <x:c r="D25" s="6"/>
      <x:c r="E25" s="6"/>
      <x:c r="F25" s="6"/>
      <x:c r="G25" s="6"/>
      <x:c r="H25" s="6"/>
      <x:c r="I25" s="6"/>
    </x:row>
    <x:row r="26">
      <x:c r="B26" s="6"/>
      <x:c r="C26" s="6"/>
      <x:c r="D26" s="6"/>
      <x:c r="E26" s="6"/>
      <x:c r="F26" s="6"/>
      <x:c r="G26" s="6"/>
      <x:c r="H26" s="6"/>
      <x:c r="I26" s="6"/>
    </x:row>
    <x:row r="27">
      <x:c r="B27" s="6"/>
      <x:c r="C27" s="6"/>
      <x:c r="D27" s="6"/>
      <x:c r="E27" s="6"/>
      <x:c r="F27" s="6"/>
      <x:c r="G27" s="6"/>
      <x:c r="H27" s="6"/>
      <x:c r="I27" s="6"/>
    </x:row>
    <x:row r="28">
      <x:c r="B28" s="6"/>
      <x:c r="C28" s="6"/>
      <x:c r="D28" s="6"/>
      <x:c r="E28" s="6"/>
      <x:c r="F28" s="6"/>
      <x:c r="G28" s="6"/>
      <x:c r="H28" s="6"/>
      <x:c r="I28" s="6"/>
    </x:row>
    <x:row r="29">
      <x:c r="B29" s="6"/>
      <x:c r="C29" s="6"/>
      <x:c r="D29" s="6"/>
      <x:c r="E29" s="6"/>
      <x:c r="F29" s="6"/>
      <x:c r="G29" s="6"/>
      <x:c r="H29" s="6"/>
      <x:c r="I29" s="6"/>
    </x:row>
    <x:row r="30">
      <x:c r="B30" s="6"/>
      <x:c r="C30" s="6"/>
      <x:c r="D30" s="6"/>
      <x:c r="E30" s="6"/>
      <x:c r="F30" s="6"/>
      <x:c r="G30" s="6"/>
      <x:c r="H30" s="6"/>
      <x:c r="I30" s="6"/>
    </x:row>
    <x:row r="31">
      <x:c r="B31" s="6" t="str">
        <x:v>Net cash return is cumulative, not annualized. FICO is absent from this release.</x:v>
      </x:c>
      <x:c r="C31" s="6"/>
      <x:c r="D31" s="6"/>
      <x:c r="E31" s="6"/>
      <x:c r="F31" s="6"/>
      <x:c r="G31" s="6"/>
      <x:c r="H31" s="6"/>
      <x:c r="I31" s="6"/>
    </x:row>
    <x:row r="32">
      <x:c r="B32" s="6"/>
      <x:c r="C32" s="6"/>
      <x:c r="D32" s="6"/>
      <x:c r="E32" s="6"/>
      <x:c r="F32" s="6"/>
      <x:c r="G32" s="6"/>
      <x:c r="H32" s="6"/>
      <x:c r="I32" s="6"/>
    </x:row>
    <x:row r="33">
      <x:c r="B33" s="6"/>
      <x:c r="C33" s="6"/>
      <x:c r="D33" s="6"/>
      <x:c r="E33" s="6"/>
      <x:c r="F33" s="6"/>
      <x:c r="G33" s="6"/>
      <x:c r="H33" s="6"/>
      <x:c r="I33" s="6"/>
    </x:row>
    <x:row r="34">
      <x:c r="B34" s="6"/>
      <x:c r="C34" s="6"/>
      <x:c r="D34" s="6"/>
      <x:c r="E34" s="6"/>
      <x:c r="F34" s="6"/>
      <x:c r="G34" s="6"/>
      <x:c r="H34" s="6"/>
      <x:c r="I34" s="6"/>
    </x:row>
    <x:row r="35">
      <x:c r="B35" s="6"/>
      <x:c r="C35" s="6"/>
      <x:c r="D35" s="6"/>
      <x:c r="E35" s="6"/>
      <x:c r="F35" s="6"/>
      <x:c r="G35" s="6"/>
      <x:c r="H35" s="6"/>
      <x:c r="I35" s="6"/>
    </x:row>
    <x:row r="36">
      <x:c r="B36" s="6"/>
      <x:c r="C36" s="6"/>
      <x:c r="D36" s="6"/>
      <x:c r="E36" s="6"/>
      <x:c r="F36" s="6"/>
      <x:c r="G36" s="6"/>
      <x:c r="H36" s="6"/>
      <x:c r="I36" s="6"/>
    </x:row>
    <x:row r="37">
      <x:c r="B37" s="6"/>
      <x:c r="C37" s="6"/>
      <x:c r="D37" s="6"/>
      <x:c r="E37" s="6"/>
      <x:c r="F37" s="6"/>
      <x:c r="G37" s="6"/>
      <x:c r="H37" s="6"/>
      <x:c r="I37" s="6"/>
    </x:row>
    <x:row r="38">
      <x:c r="B38" s="6"/>
      <x:c r="C38" s="6"/>
      <x:c r="D38" s="6"/>
      <x:c r="E38" s="6"/>
      <x:c r="F38" s="6"/>
      <x:c r="G38" s="6"/>
      <x:c r="H38" s="6"/>
      <x:c r="I38" s="6"/>
    </x:row>
    <x:row r="39">
      <x:c r="B39" s="6"/>
      <x:c r="C39" s="6"/>
      <x:c r="D39" s="6"/>
      <x:c r="E39" s="6"/>
      <x:c r="F39" s="6"/>
      <x:c r="G39" s="6"/>
      <x:c r="H39" s="6"/>
      <x:c r="I39" s="6"/>
    </x:row>
    <x:row r="40">
      <x:c r="B40" s="6"/>
      <x:c r="C40" s="6"/>
      <x:c r="D40" s="6"/>
      <x:c r="E40" s="6"/>
      <x:c r="F40" s="6"/>
      <x:c r="G40" s="6"/>
      <x:c r="H40" s="6"/>
      <x:c r="I40" s="6"/>
    </x:row>
    <x:row r="41">
      <x:c r="B41" s="6"/>
      <x:c r="C41" s="6"/>
      <x:c r="D41" s="6"/>
      <x:c r="E41" s="6"/>
      <x:c r="F41" s="6"/>
      <x:c r="G41" s="6"/>
      <x:c r="H41" s="6"/>
      <x:c r="I41" s="6"/>
    </x:row>
    <x:row r="42">
      <x:c r="B42" s="6"/>
      <x:c r="C42" s="6"/>
      <x:c r="D42" s="6"/>
      <x:c r="E42" s="6"/>
      <x:c r="F42" s="6"/>
      <x:c r="G42" s="6"/>
      <x:c r="H42" s="6"/>
      <x:c r="I42" s="6"/>
    </x:row>
    <x:row r="43">
      <x:c r="B43" s="6"/>
      <x:c r="C43" s="6"/>
      <x:c r="D43" s="6"/>
      <x:c r="E43" s="6"/>
      <x:c r="F43" s="6"/>
      <x:c r="G43" s="6"/>
      <x:c r="H43" s="6"/>
      <x:c r="I43" s="6"/>
    </x:row>
    <x:row r="44">
      <x:c r="B44" s="6"/>
      <x:c r="C44" s="6"/>
      <x:c r="D44" s="6"/>
      <x:c r="E44" s="6"/>
      <x:c r="F44" s="6"/>
      <x:c r="G44" s="6"/>
      <x:c r="H44" s="6"/>
      <x:c r="I44" s="6"/>
    </x:row>
    <x:row r="45">
      <x:c r="B45" s="6"/>
      <x:c r="C45" s="6"/>
      <x:c r="D45" s="6"/>
      <x:c r="E45" s="6"/>
      <x:c r="F45" s="6"/>
      <x:c r="G45" s="6"/>
      <x:c r="H45" s="6"/>
      <x:c r="I45" s="6"/>
    </x:row>
  </x:sheetData>
  <x:conditionalFormatting sqref="C16:C22">
    <x:cfRule type="colorScale" priority="1">
      <x:colorScale>
        <x:cfvo type="min"/>
        <x:cfvo type="max"/>
        <x:color rgb="FFE8EEF7"/>
        <x:color rgb="FF315AA8"/>
      </x:colorScale>
    </x:cfRule>
  </x:conditionalFormatting>
  <x:pageMargins left="0.7" right="0.7" top="0.75" bottom="0.75" header="0.3" footer="0.3"/>
  <x:drawing xmlns:r="http://schemas.openxmlformats.org/officeDocument/2006/relationships" r:id="Rabfb03ff635e4db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>
      <x:c r="A2" s="7" t="str">
        <x:v>grade risk return</x:v>
      </x:c>
    </x:row>
    <x:row r="3">
      <x:c r="A3" t="str">
        <x:v>Source: 03_SQL/results/grade_risk_return.csv. Complete query result; original historical currency.</x:v>
      </x:c>
    </x:row>
    <x:row r="5" ht="34" customHeight="1">
      <x:c r="A5" s="8" t="str">
        <x:v>grade</x:v>
      </x:c>
      <x:c r="B5" s="8" t="str">
        <x:v>loans</x:v>
      </x:c>
      <x:c r="C5" s="8" t="str">
        <x:v>resolved_loans</x:v>
      </x:c>
      <x:c r="D5" s="8" t="str">
        <x:v>funded_amount</x:v>
      </x:c>
      <x:c r="E5" s="8" t="str">
        <x:v>default_rate</x:v>
      </x:c>
      <x:c r="F5" s="8" t="str">
        <x:v>coupon_rate</x:v>
      </x:c>
      <x:c r="G5" s="8" t="str">
        <x:v>interest_received</x:v>
      </x:c>
      <x:c r="H5" s="8" t="str">
        <x:v>recovery_rate</x:v>
      </x:c>
      <x:c r="I5" s="8" t="str">
        <x:v>net_return_proxy</x:v>
      </x:c>
    </x:row>
    <x:row r="6">
      <x:c r="A6" s="6" t="str">
        <x:v>A</x:v>
      </x:c>
      <x:c r="B6" s="9" t="n">
        <x:v>10085</x:v>
      </x:c>
      <x:c r="C6" s="9" t="n">
        <x:v>10045</x:v>
      </x:c>
      <x:c r="D6" s="10" t="n">
        <x:v>84738425</x:v>
      </x:c>
      <x:c r="E6" s="11" t="n">
        <x:v>0.0599303136</x:v>
      </x:c>
      <x:c r="F6" s="11" t="n">
        <x:v>0.0733526227</x:v>
      </x:c>
      <x:c r="G6" s="10" t="n">
        <x:v>8501028.82</x:v>
      </x:c>
      <x:c r="H6" s="11" t="n">
        <x:v>0.0804633789</x:v>
      </x:c>
      <x:c r="I6" s="11" t="n">
        <x:v>0.0715584758</x:v>
      </x:c>
    </x:row>
    <x:row r="7">
      <x:c r="A7" s="6" t="str">
        <x:v>B</x:v>
      </x:c>
      <x:c r="B7" s="9" t="n">
        <x:v>12020</x:v>
      </x:c>
      <x:c r="C7" s="9" t="n">
        <x:v>11675</x:v>
      </x:c>
      <x:c r="D7" s="10" t="n">
        <x:v>130553250</x:v>
      </x:c>
      <x:c r="E7" s="11" t="n">
        <x:v>0.1220556745</x:v>
      </x:c>
      <x:c r="F7" s="11" t="n">
        <x:v>0.1102122379</x:v>
      </x:c>
      <x:c r="G7" s="10" t="n">
        <x:v>22326216.78</x:v>
      </x:c>
      <x:c r="H7" s="11" t="n">
        <x:v>0.0763072069</x:v>
      </x:c>
      <x:c r="I7" s="11" t="n">
        <x:v>0.0952267354</x:v>
      </x:c>
    </x:row>
    <x:row r="8">
      <x:c r="A8" s="6" t="str">
        <x:v>C</x:v>
      </x:c>
      <x:c r="B8" s="9" t="n">
        <x:v>8098</x:v>
      </x:c>
      <x:c r="C8" s="9" t="n">
        <x:v>7834</x:v>
      </x:c>
      <x:c r="D8" s="10" t="n">
        <x:v>87290475</x:v>
      </x:c>
      <x:c r="E8" s="11" t="n">
        <x:v>0.1719428134</x:v>
      </x:c>
      <x:c r="F8" s="11" t="n">
        <x:v>0.1355295999</x:v>
      </x:c>
      <x:c r="G8" s="10" t="n">
        <x:v>19162644</x:v>
      </x:c>
      <x:c r="H8" s="11" t="n">
        <x:v>0.0877026082</x:v>
      </x:c>
      <x:c r="I8" s="11" t="n">
        <x:v>0.1041995082</x:v>
      </x:c>
    </x:row>
    <x:row r="9">
      <x:c r="A9" s="6" t="str">
        <x:v>D</x:v>
      </x:c>
      <x:c r="B9" s="9" t="n">
        <x:v>5307</x:v>
      </x:c>
      <x:c r="C9" s="9" t="n">
        <x:v>5085</x:v>
      </x:c>
      <x:c r="D9" s="10" t="n">
        <x:v>64054375</x:v>
      </x:c>
      <x:c r="E9" s="11" t="n">
        <x:v>0.2198623402</x:v>
      </x:c>
      <x:c r="F9" s="11" t="n">
        <x:v>0.1571990013</x:v>
      </x:c>
      <x:c r="G9" s="10" t="n">
        <x:v>16665553.83</x:v>
      </x:c>
      <x:c r="H9" s="11" t="n">
        <x:v>0.0830090604</x:v>
      </x:c>
      <x:c r="I9" s="11" t="n">
        <x:v>0.1102066134</x:v>
      </x:c>
    </x:row>
    <x:row r="10">
      <x:c r="A10" s="6" t="str">
        <x:v>E</x:v>
      </x:c>
      <x:c r="B10" s="9" t="n">
        <x:v>2842</x:v>
      </x:c>
      <x:c r="C10" s="9" t="n">
        <x:v>2663</x:v>
      </x:c>
      <x:c r="D10" s="10" t="n">
        <x:v>43352800</x:v>
      </x:c>
      <x:c r="E10" s="11" t="n">
        <x:v>0.2684941795</x:v>
      </x:c>
      <x:c r="F10" s="11" t="n">
        <x:v>0.1771171358</x:v>
      </x:c>
      <x:c r="G10" s="10" t="n">
        <x:v>14000933.83</x:v>
      </x:c>
      <x:c r="H10" s="11" t="n">
        <x:v>0.0871882087</x:v>
      </x:c>
      <x:c r="I10" s="11" t="n">
        <x:v>0.1284392891</x:v>
      </x:c>
    </x:row>
    <x:row r="11">
      <x:c r="A11" s="6" t="str">
        <x:v>F</x:v>
      </x:c>
      <x:c r="B11" s="9" t="n">
        <x:v>1049</x:v>
      </x:c>
      <x:c r="C11" s="9" t="n">
        <x:v>976</x:v>
      </x:c>
      <x:c r="D11" s="10" t="n">
        <x:v>18555150</x:v>
      </x:c>
      <x:c r="E11" s="11" t="n">
        <x:v>0.3268442623</x:v>
      </x:c>
      <x:c r="F11" s="11" t="n">
        <x:v>0.1974932316</x:v>
      </x:c>
      <x:c r="G11" s="10" t="n">
        <x:v>6870667.54</x:v>
      </x:c>
      <x:c r="H11" s="11" t="n">
        <x:v>0.1120636671</x:v>
      </x:c>
      <x:c r="I11" s="11" t="n">
        <x:v>0.1203774786</x:v>
      </x:c>
    </x:row>
    <x:row r="12">
      <x:c r="A12" s="6" t="str">
        <x:v>G</x:v>
      </x:c>
      <x:c r="B12" s="9" t="n">
        <x:v>316</x:v>
      </x:c>
      <x:c r="C12" s="9" t="n">
        <x:v>299</x:v>
      </x:c>
      <x:c r="D12" s="10" t="n">
        <x:v>6265850</x:v>
      </x:c>
      <x:c r="E12" s="11" t="n">
        <x:v>0.3377926421</x:v>
      </x:c>
      <x:c r="F12" s="11" t="n">
        <x:v>0.214010443</x:v>
      </x:c>
      <x:c r="G12" s="10" t="n">
        <x:v>2378865.41</x:v>
      </x:c>
      <x:c r="H12" s="11" t="n">
        <x:v>0.090880905</x:v>
      </x:c>
      <x:c r="I12" s="11" t="n">
        <x:v>0.1363417696</x:v>
      </x:c>
    </x:row>
  </x:sheetData>
  <x:pageMargins left="0.7" right="0.7" top="0.75" bottom="0.75" header="0.3" footer="0.3"/>
  <x:tableParts count="1">
    <x:tablePart xmlns:r="http://schemas.openxmlformats.org/officeDocument/2006/relationships" r:id="R6934ebe2e1314d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2">
      <x:c r="A2" s="7" t="str">
        <x:v>vintage</x:v>
      </x:c>
    </x:row>
    <x:row r="3">
      <x:c r="A3" t="str">
        <x:v>Source: 03_SQL/results/vintage.csv. Complete query result; original historical currency.</x:v>
      </x:c>
    </x:row>
    <x:row r="5" ht="34" customHeight="1">
      <x:c r="A5" s="8" t="str">
        <x:v>issue_year</x:v>
      </x:c>
      <x:c r="B5" s="8" t="str">
        <x:v>term_months</x:v>
      </x:c>
      <x:c r="C5" s="8" t="str">
        <x:v>loans</x:v>
      </x:c>
      <x:c r="D5" s="8" t="str">
        <x:v>resolved_loans</x:v>
      </x:c>
      <x:c r="E5" s="8" t="str">
        <x:v>current_share</x:v>
      </x:c>
      <x:c r="F5" s="8" t="str">
        <x:v>default_rate</x:v>
      </x:c>
      <x:c r="G5" s="8" t="str">
        <x:v>net_return_proxy</x:v>
      </x:c>
    </x:row>
    <x:row r="6">
      <x:c r="A6" s="9" t="n">
        <x:v>2007</x:v>
      </x:c>
      <x:c r="B6" s="10" t="n">
        <x:v>36</x:v>
      </x:c>
      <x:c r="C6" s="9" t="n">
        <x:v>251</x:v>
      </x:c>
      <x:c r="D6" s="9" t="n">
        <x:v>251</x:v>
      </x:c>
      <x:c r="E6" s="11" t="n">
        <x:v>0</x:v>
      </x:c>
      <x:c r="F6" s="11" t="n">
        <x:v>0.1792828685</x:v>
      </x:c>
      <x:c r="G6" s="11" t="n">
        <x:v>0.0242488349</x:v>
      </x:c>
    </x:row>
    <x:row r="7">
      <x:c r="A7" s="9" t="n">
        <x:v>2008</x:v>
      </x:c>
      <x:c r="B7" s="10" t="n">
        <x:v>36</x:v>
      </x:c>
      <x:c r="C7" s="9" t="n">
        <x:v>1562</x:v>
      </x:c>
      <x:c r="D7" s="9" t="n">
        <x:v>1562</x:v>
      </x:c>
      <x:c r="E7" s="11" t="n">
        <x:v>0</x:v>
      </x:c>
      <x:c r="F7" s="11" t="n">
        <x:v>0.1581306018</x:v>
      </x:c>
      <x:c r="G7" s="11" t="n">
        <x:v>0.0432880478</x:v>
      </x:c>
    </x:row>
    <x:row r="8">
      <x:c r="A8" s="9" t="n">
        <x:v>2009</x:v>
      </x:c>
      <x:c r="B8" s="10" t="n">
        <x:v>36</x:v>
      </x:c>
      <x:c r="C8" s="9" t="n">
        <x:v>4716</x:v>
      </x:c>
      <x:c r="D8" s="9" t="n">
        <x:v>4716</x:v>
      </x:c>
      <x:c r="E8" s="11" t="n">
        <x:v>0</x:v>
      </x:c>
      <x:c r="F8" s="11" t="n">
        <x:v>0.1259541985</x:v>
      </x:c>
      <x:c r="G8" s="11" t="n">
        <x:v>0.0846846165</x:v>
      </x:c>
    </x:row>
    <x:row r="9">
      <x:c r="A9" s="9" t="n">
        <x:v>2010</x:v>
      </x:c>
      <x:c r="B9" s="10" t="n">
        <x:v>36</x:v>
      </x:c>
      <x:c r="C9" s="9" t="n">
        <x:v>8466</x:v>
      </x:c>
      <x:c r="D9" s="9" t="n">
        <x:v>8466</x:v>
      </x:c>
      <x:c r="E9" s="11" t="n">
        <x:v>0</x:v>
      </x:c>
      <x:c r="F9" s="11" t="n">
        <x:v>0.0994566501</x:v>
      </x:c>
      <x:c r="G9" s="11" t="n">
        <x:v>0.0985481156</x:v>
      </x:c>
    </x:row>
    <x:row r="10">
      <x:c r="A10" s="9" t="n">
        <x:v>2010</x:v>
      </x:c>
      <x:c r="B10" s="10" t="n">
        <x:v>60</x:v>
      </x:c>
      <x:c r="C10" s="9" t="n">
        <x:v>3066</x:v>
      </x:c>
      <x:c r="D10" s="9" t="n">
        <x:v>3066</x:v>
      </x:c>
      <x:c r="E10" s="11" t="n">
        <x:v>0</x:v>
      </x:c>
      <x:c r="F10" s="11" t="n">
        <x:v>0.2097195042</x:v>
      </x:c>
      <x:c r="G10" s="11" t="n">
        <x:v>0.1613209237</x:v>
      </x:c>
    </x:row>
    <x:row r="11">
      <x:c r="A11" s="9" t="n">
        <x:v>2011</x:v>
      </x:c>
      <x:c r="B11" s="10" t="n">
        <x:v>36</x:v>
      </x:c>
      <x:c r="C11" s="9" t="n">
        <x:v>14101</x:v>
      </x:c>
      <x:c r="D11" s="9" t="n">
        <x:v>14101</x:v>
      </x:c>
      <x:c r="E11" s="11" t="n">
        <x:v>0</x:v>
      </x:c>
      <x:c r="F11" s="11" t="n">
        <x:v>0.1063045174</x:v>
      </x:c>
      <x:c r="G11" s="11" t="n">
        <x:v>0.0923089735</x:v>
      </x:c>
    </x:row>
    <x:row r="12">
      <x:c r="A12" s="9" t="n">
        <x:v>2011</x:v>
      </x:c>
      <x:c r="B12" s="10" t="n">
        <x:v>60</x:v>
      </x:c>
      <x:c r="C12" s="9" t="n">
        <x:v>7555</x:v>
      </x:c>
      <x:c r="D12" s="9" t="n">
        <x:v>6415</x:v>
      </x:c>
      <x:c r="E12" s="11" t="n">
        <x:v>0.150893448</x:v>
      </x:c>
      <x:c r="F12" s="11" t="n">
        <x:v>0.2738893219</x:v>
      </x:c>
      <x:c r="G12" s="11" t="n">
        <x:v>0.1025879648</x:v>
      </x:c>
    </x:row>
  </x:sheetData>
  <x:pageMargins left="0.7" right="0.7" top="0.75" bottom="0.75" header="0.3" footer="0.3"/>
  <x:tableParts count="1">
    <x:tablePart xmlns:r="http://schemas.openxmlformats.org/officeDocument/2006/relationships" r:id="Rb125b3536dfc41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2">
      <x:c r="A2" s="7" t="str">
        <x:v>purpose risk</x:v>
      </x:c>
    </x:row>
    <x:row r="3">
      <x:c r="A3" t="str">
        <x:v>Source: 03_SQL/results/purpose_risk.csv. Complete query result; original historical currency.</x:v>
      </x:c>
    </x:row>
    <x:row r="5" ht="34" customHeight="1">
      <x:c r="A5" s="8" t="str">
        <x:v>purpose</x:v>
      </x:c>
      <x:c r="B5" s="8" t="str">
        <x:v>loans</x:v>
      </x:c>
      <x:c r="C5" s="8" t="str">
        <x:v>resolved_loans</x:v>
      </x:c>
      <x:c r="D5" s="8" t="str">
        <x:v>default_rate</x:v>
      </x:c>
      <x:c r="E5" s="8" t="str">
        <x:v>funded_amount</x:v>
      </x:c>
      <x:c r="F5" s="8" t="str">
        <x:v>coupon_rate</x:v>
      </x:c>
      <x:c r="G5" s="8" t="str">
        <x:v>net_return_proxy</x:v>
      </x:c>
    </x:row>
    <x:row r="6">
      <x:c r="A6" s="6" t="str">
        <x:v>car</x:v>
      </x:c>
      <x:c r="B6" s="9" t="n">
        <x:v>1549</x:v>
      </x:c>
      <x:c r="C6" s="9" t="n">
        <x:v>1499</x:v>
      </x:c>
      <x:c r="D6" s="11" t="n">
        <x:v>0.1067378252</x:v>
      </x:c>
      <x:c r="E6" s="10" t="n">
        <x:v>10400450</x:v>
      </x:c>
      <x:c r="F6" s="11" t="n">
        <x:v>0.1053009684</x:v>
      </x:c>
      <x:c r="G6" s="11" t="n">
        <x:v>0.1095743958</x:v>
      </x:c>
    </x:row>
    <x:row r="7">
      <x:c r="A7" s="6" t="str">
        <x:v>credit_card</x:v>
      </x:c>
      <x:c r="B7" s="9" t="n">
        <x:v>5130</x:v>
      </x:c>
      <x:c r="C7" s="9" t="n">
        <x:v>5027</x:v>
      </x:c>
      <x:c r="D7" s="11" t="n">
        <x:v>0.107817784</x:v>
      </x:c>
      <x:c r="E7" s="10" t="n">
        <x:v>58749550</x:v>
      </x:c>
      <x:c r="F7" s="11" t="n">
        <x:v>0.1170117349</x:v>
      </x:c>
      <x:c r="G7" s="11" t="n">
        <x:v>0.1227622613</x:v>
      </x:c>
    </x:row>
    <x:row r="8">
      <x:c r="A8" s="6" t="str">
        <x:v>debt_consolidation</x:v>
      </x:c>
      <x:c r="B8" s="9" t="n">
        <x:v>18641</x:v>
      </x:c>
      <x:c r="C8" s="9" t="n">
        <x:v>18055</x:v>
      </x:c>
      <x:c r="D8" s="11" t="n">
        <x:v>0.1532539463</x:v>
      </x:c>
      <x:c r="E8" s="10" t="n">
        <x:v>230937800</x:v>
      </x:c>
      <x:c r="F8" s="11" t="n">
        <x:v>0.1248789013</x:v>
      </x:c>
      <x:c r="G8" s="11" t="n">
        <x:v>0.1057169966</x:v>
      </x:c>
    </x:row>
    <x:row r="9">
      <x:c r="A9" s="6" t="str">
        <x:v>educational</x:v>
      </x:c>
      <x:c r="B9" s="9" t="n">
        <x:v>325</x:v>
      </x:c>
      <x:c r="C9" s="9" t="n">
        <x:v>325</x:v>
      </x:c>
      <x:c r="D9" s="11" t="n">
        <x:v>0.1723076923</x:v>
      </x:c>
      <x:c r="E9" s="10" t="n">
        <x:v>2174925</x:v>
      </x:c>
      <x:c r="F9" s="11" t="n">
        <x:v>0.1165083077</x:v>
      </x:c>
      <x:c r="G9" s="11" t="n">
        <x:v>0.0492917281</x:v>
      </x:c>
    </x:row>
    <x:row r="10">
      <x:c r="A10" s="6" t="str">
        <x:v>home_improvement</x:v>
      </x:c>
      <x:c r="B10" s="9" t="n">
        <x:v>2976</x:v>
      </x:c>
      <x:c r="C10" s="9" t="n">
        <x:v>2875</x:v>
      </x:c>
      <x:c r="D10" s="11" t="n">
        <x:v>0.1206956522</x:v>
      </x:c>
      <x:c r="E10" s="10" t="n">
        <x:v>33392050</x:v>
      </x:c>
      <x:c r="F10" s="11" t="n">
        <x:v>0.1140026546</x:v>
      </x:c>
      <x:c r="G10" s="11" t="n">
        <x:v>0.1099545392</x:v>
      </x:c>
    </x:row>
    <x:row r="11">
      <x:c r="A11" s="6" t="str">
        <x:v>house</x:v>
      </x:c>
      <x:c r="B11" s="9" t="n">
        <x:v>381</x:v>
      </x:c>
      <x:c r="C11" s="9" t="n">
        <x:v>367</x:v>
      </x:c>
      <x:c r="D11" s="11" t="n">
        <x:v>0.1607629428</x:v>
      </x:c>
      <x:c r="E11" s="10" t="n">
        <x:v>4843500</x:v>
      </x:c>
      <x:c r="F11" s="11" t="n">
        <x:v>0.1222813648</x:v>
      </x:c>
      <x:c r="G11" s="11" t="n">
        <x:v>0.0900877602</x:v>
      </x:c>
    </x:row>
    <x:row r="12">
      <x:c r="A12" s="6" t="str">
        <x:v>major_purchase</x:v>
      </x:c>
      <x:c r="B12" s="9" t="n">
        <x:v>2187</x:v>
      </x:c>
      <x:c r="C12" s="9" t="n">
        <x:v>2150</x:v>
      </x:c>
      <x:c r="D12" s="11" t="n">
        <x:v>0.103255814</x:v>
      </x:c>
      <x:c r="E12" s="10" t="n">
        <x:v>17430925</x:v>
      </x:c>
      <x:c r="F12" s="11" t="n">
        <x:v>0.1084306356</x:v>
      </x:c>
      <x:c r="G12" s="11" t="n">
        <x:v>0.0996233169</x:v>
      </x:c>
    </x:row>
    <x:row r="13">
      <x:c r="A13" s="6" t="str">
        <x:v>medical</x:v>
      </x:c>
      <x:c r="B13" s="9" t="n">
        <x:v>693</x:v>
      </x:c>
      <x:c r="C13" s="9" t="n">
        <x:v>681</x:v>
      </x:c>
      <x:c r="D13" s="11" t="n">
        <x:v>0.1556534508</x:v>
      </x:c>
      <x:c r="E13" s="10" t="n">
        <x:v>5615650</x:v>
      </x:c>
      <x:c r="F13" s="11" t="n">
        <x:v>0.1149212121</x:v>
      </x:c>
      <x:c r="G13" s="11" t="n">
        <x:v>0.0671162138</x:v>
      </x:c>
    </x:row>
    <x:row r="14">
      <x:c r="A14" s="6" t="str">
        <x:v>moving</x:v>
      </x:c>
      <x:c r="B14" s="9" t="n">
        <x:v>583</x:v>
      </x:c>
      <x:c r="C14" s="9" t="n">
        <x:v>576</x:v>
      </x:c>
      <x:c r="D14" s="11" t="n">
        <x:v>0.1597222222</x:v>
      </x:c>
      <x:c r="E14" s="10" t="n">
        <x:v>3793550</x:v>
      </x:c>
      <x:c r="F14" s="11" t="n">
        <x:v>0.1156361921</x:v>
      </x:c>
      <x:c r="G14" s="11" t="n">
        <x:v>0.0822791468</x:v>
      </x:c>
    </x:row>
    <x:row r="15">
      <x:c r="A15" s="6" t="str">
        <x:v>other</x:v>
      </x:c>
      <x:c r="B15" s="9" t="n">
        <x:v>3993</x:v>
      </x:c>
      <x:c r="C15" s="9" t="n">
        <x:v>3865</x:v>
      </x:c>
      <x:c r="D15" s="11" t="n">
        <x:v>0.1637774903</x:v>
      </x:c>
      <x:c r="E15" s="10" t="n">
        <x:v>31517000</x:v>
      </x:c>
      <x:c r="F15" s="11" t="n">
        <x:v>0.1181511145</x:v>
      </x:c>
      <x:c r="G15" s="11" t="n">
        <x:v>0.0764108678</x:v>
      </x:c>
    </x:row>
    <x:row r="16">
      <x:c r="A16" s="6" t="str">
        <x:v>renewable_energy</x:v>
      </x:c>
      <x:c r="B16" s="9" t="n">
        <x:v>103</x:v>
      </x:c>
      <x:c r="C16" s="9" t="n">
        <x:v>102</x:v>
      </x:c>
      <x:c r="D16" s="11" t="n">
        <x:v>0.1862745098</x:v>
      </x:c>
      <x:c r="E16" s="10" t="n">
        <x:v>876425</x:v>
      </x:c>
      <x:c r="F16" s="11" t="n">
        <x:v>0.1143757282</x:v>
      </x:c>
      <x:c r="G16" s="11" t="n">
        <x:v>0.0625910713</x:v>
      </x:c>
    </x:row>
    <x:row r="17">
      <x:c r="A17" s="6" t="str">
        <x:v>small_business</x:v>
      </x:c>
      <x:c r="B17" s="9" t="n">
        <x:v>1828</x:v>
      </x:c>
      <x:c r="C17" s="9" t="n">
        <x:v>1754</x:v>
      </x:c>
      <x:c r="D17" s="11" t="n">
        <x:v>0.2708095781</x:v>
      </x:c>
      <x:c r="E17" s="10" t="n">
        <x:v>23792875</x:v>
      </x:c>
      <x:c r="F17" s="11" t="n">
        <x:v>0.1300904814</x:v>
      </x:c>
      <x:c r="G17" s="11" t="n">
        <x:v>0.0021232529</x:v>
      </x:c>
    </x:row>
    <x:row r="18">
      <x:c r="A18" s="6" t="str">
        <x:v>vacation</x:v>
      </x:c>
      <x:c r="B18" s="9" t="n">
        <x:v>381</x:v>
      </x:c>
      <x:c r="C18" s="9" t="n">
        <x:v>375</x:v>
      </x:c>
      <x:c r="D18" s="11" t="n">
        <x:v>0.1413333333</x:v>
      </x:c>
      <x:c r="E18" s="10" t="n">
        <x:v>2049575</x:v>
      </x:c>
      <x:c r="F18" s="11" t="n">
        <x:v>0.1085608924</x:v>
      </x:c>
      <x:c r="G18" s="11" t="n">
        <x:v>0.0860314463</x:v>
      </x:c>
    </x:row>
    <x:row r="19">
      <x:c r="A19" s="6" t="str">
        <x:v>wedding</x:v>
      </x:c>
      <x:c r="B19" s="9" t="n">
        <x:v>947</x:v>
      </x:c>
      <x:c r="C19" s="9" t="n">
        <x:v>926</x:v>
      </x:c>
      <x:c r="D19" s="11" t="n">
        <x:v>0.1036717063</x:v>
      </x:c>
      <x:c r="E19" s="10" t="n">
        <x:v>9236050</x:v>
      </x:c>
      <x:c r="F19" s="11" t="n">
        <x:v>0.1188554382</x:v>
      </x:c>
      <x:c r="G19" s="11" t="n">
        <x:v>0.1106579256</x:v>
      </x:c>
    </x:row>
  </x:sheetData>
  <x:pageMargins left="0.7" right="0.7" top="0.75" bottom="0.75" header="0.3" footer="0.3"/>
  <x:tableParts count="1">
    <x:tablePart xmlns:r="http://schemas.openxmlformats.org/officeDocument/2006/relationships" r:id="Re811099d10414a4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2">
      <x:c r="A2" s="7" t="str">
        <x:v>recovery</x:v>
      </x:c>
    </x:row>
    <x:row r="3">
      <x:c r="A3" t="str">
        <x:v>Source: 03_SQL/results/recovery.csv. Complete query result; original historical currency.</x:v>
      </x:c>
    </x:row>
    <x:row r="5" ht="34" customHeight="1">
      <x:c r="A5" s="8" t="str">
        <x:v>grade</x:v>
      </x:c>
      <x:c r="B5" s="8" t="str">
        <x:v>recovery_cash</x:v>
      </x:c>
      <x:c r="C5" s="8" t="str">
        <x:v>recovery_fees</x:v>
      </x:c>
      <x:c r="D5" s="8" t="str">
        <x:v>pre_recovery_exposure</x:v>
      </x:c>
      <x:c r="E5" s="8" t="str">
        <x:v>recovery_rate</x:v>
      </x:c>
      <x:c r="F5" s="8" t="str">
        <x:v>unreturned_principal</x:v>
      </x:c>
    </x:row>
    <x:row r="6">
      <x:c r="A6" s="6" t="str">
        <x:v>A</x:v>
      </x:c>
      <x:c r="B6" s="10" t="n">
        <x:v>205612.0952813</x:v>
      </x:c>
      <x:c r="C6" s="10" t="n">
        <x:v>30495.470600009</x:v>
      </x:c>
      <x:c r="D6" s="10" t="n">
        <x:v>2555350</x:v>
      </x:c>
      <x:c r="E6" s="11" t="n">
        <x:v>0.0804633789</x:v>
      </x:c>
      <x:c r="F6" s="10" t="n">
        <x:v>2351548.57</x:v>
      </x:c>
    </x:row>
    <x:row r="7">
      <x:c r="A7" s="6" t="str">
        <x:v>B</x:v>
      </x:c>
      <x:c r="B7" s="10" t="n">
        <x:v>705382.661585</x:v>
      </x:c>
      <x:c r="C7" s="10" t="n">
        <x:v>80438.073099996</x:v>
      </x:c>
      <x:c r="D7" s="10" t="n">
        <x:v>9243984.81</x:v>
      </x:c>
      <x:c r="E7" s="11" t="n">
        <x:v>0.0763072069</x:v>
      </x:c>
      <x:c r="F7" s="10" t="n">
        <x:v>8542099.68</x:v>
      </x:c>
    </x:row>
    <x:row r="8">
      <x:c r="A8" s="6" t="str">
        <x:v>C</x:v>
      </x:c>
      <x:c r="B8" s="10" t="n">
        <x:v>837295.4845231</x:v>
      </x:c>
      <x:c r="C8" s="10" t="n">
        <x:v>126032.408900024</x:v>
      </x:c>
      <x:c r="D8" s="10" t="n">
        <x:v>9546984.99</x:v>
      </x:c>
      <x:c r="E8" s="11" t="n">
        <x:v>0.0877026082</x:v>
      </x:c>
      <x:c r="F8" s="10" t="n">
        <x:v>8715516.3438173</x:v>
      </x:c>
    </x:row>
    <x:row r="9">
      <x:c r="A9" s="6" t="str">
        <x:v>D</x:v>
      </x:c>
      <x:c r="B9" s="10" t="n">
        <x:v>746797.762011</x:v>
      </x:c>
      <x:c r="C9" s="10" t="n">
        <x:v>99121.657200015</x:v>
      </x:c>
      <x:c r="D9" s="10" t="n">
        <x:v>8996581.32</x:v>
      </x:c>
      <x:c r="E9" s="11" t="n">
        <x:v>0.0830090604</x:v>
      </x:c>
      <x:c r="F9" s="10" t="n">
        <x:v>8252253.614395</x:v>
      </x:c>
    </x:row>
    <x:row r="10">
      <x:c r="A10" s="6" t="str">
        <x:v>E</x:v>
      </x:c>
      <x:c r="B10" s="10" t="n">
        <x:v>672016.983192</x:v>
      </x:c>
      <x:c r="C10" s="10" t="n">
        <x:v>80864.308199941</x:v>
      </x:c>
      <x:c r="D10" s="10" t="n">
        <x:v>7707659.02</x:v>
      </x:c>
      <x:c r="E10" s="11" t="n">
        <x:v>0.0871882087</x:v>
      </x:c>
      <x:c r="F10" s="10" t="n">
        <x:v>7038918</x:v>
      </x:c>
    </x:row>
    <x:row r="11">
      <x:c r="A11" s="6" t="str">
        <x:v>F</x:v>
      </x:c>
      <x:c r="B11" s="10" t="n">
        <x:v>482004.668838</x:v>
      </x:c>
      <x:c r="C11" s="10" t="n">
        <x:v>58603.000300006</x:v>
      </x:c>
      <x:c r="D11" s="10" t="n">
        <x:v>4301168.09</x:v>
      </x:c>
      <x:c r="E11" s="11" t="n">
        <x:v>0.1120636671</x:v>
      </x:c>
      <x:c r="F11" s="10" t="n">
        <x:v>3820221.26</x:v>
      </x:c>
    </x:row>
    <x:row r="12">
      <x:c r="A12" s="6" t="str">
        <x:v>G</x:v>
      </x:c>
      <x:c r="B12" s="10" t="n">
        <x:v>132807.58</x:v>
      </x:c>
      <x:c r="C12" s="10" t="n">
        <x:v>17178.62780002</x:v>
      </x:c>
      <x:c r="D12" s="10" t="n">
        <x:v>1461336.46</x:v>
      </x:c>
      <x:c r="E12" s="11" t="n">
        <x:v>0.090880905</x:v>
      </x:c>
      <x:c r="F12" s="10" t="n">
        <x:v>1328528.88</x:v>
      </x:c>
    </x:row>
  </x:sheetData>
  <x:pageMargins left="0.7" right="0.7" top="0.75" bottom="0.75" header="0.3" footer="0.3"/>
  <x:tableParts count="1">
    <x:tablePart xmlns:r="http://schemas.openxmlformats.org/officeDocument/2006/relationships" r:id="R757e7c0527df4cf2"/>
  </x:tableParts>
</x:worksheet>
</file>